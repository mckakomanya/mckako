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gresos" sheetId="2" state="visible" r:id="rId2"/>
    <sheet name="Gastos" sheetId="3" state="visible" r:id="rId3"/>
    <sheet name="Objetivos" sheetId="4" state="visible" r:id="rId4"/>
    <sheet name="Seguimiento" sheetId="5" state="visible" r:id="rId5"/>
    <sheet name="Inversiones" sheetId="6" state="visible" r:id="rId6"/>
    <sheet name="Fondo Emergenc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26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595959"/>
      <sz val="11"/>
    </font>
    <font>
      <name val="Calibri"/>
      <b val="1"/>
      <color rgb="002E5090"/>
      <sz val="13"/>
    </font>
    <font>
      <name val="Calibri"/>
      <color rgb="00595959"/>
      <sz val="10"/>
    </font>
    <font>
      <name val="Calibri"/>
      <b val="1"/>
      <color rgb="00595959"/>
      <sz val="10"/>
    </font>
    <font>
      <b val="1"/>
    </font>
    <font>
      <b val="1"/>
      <color rgb="0070AD47"/>
    </font>
    <font>
      <name val="Calibri"/>
      <b val="1"/>
      <color rgb="00FFFFFF"/>
      <sz val="11"/>
    </font>
    <font>
      <b val="1"/>
      <color rgb="001B2A4A"/>
      <sz val="11"/>
    </font>
    <font>
      <b val="1"/>
      <color rgb="00C00000"/>
      <sz val="11"/>
    </font>
    <font>
      <b val="1"/>
      <color rgb="00C00000"/>
    </font>
    <font>
      <b val="1"/>
      <color rgb="0070AD47"/>
      <sz val="12"/>
    </font>
    <font>
      <name val="Calibri"/>
      <b val="1"/>
      <color rgb="00FFFFFF"/>
      <sz val="10"/>
    </font>
    <font>
      <b val="1"/>
      <i val="1"/>
      <sz val="10"/>
    </font>
    <font>
      <b val="1"/>
      <color rgb="001B2A4A"/>
      <sz val="12"/>
    </font>
    <font>
      <b val="1"/>
      <sz val="12"/>
    </font>
    <font>
      <name val="Calibri"/>
      <i val="1"/>
      <color rgb="00595959"/>
      <sz val="10"/>
    </font>
    <font>
      <b val="1"/>
      <sz val="10"/>
    </font>
    <font>
      <b val="1"/>
      <sz val="11"/>
    </font>
    <font>
      <b val="1"/>
      <color rgb="0070AD47"/>
      <sz val="10"/>
    </font>
    <font>
      <color rgb="002E7D32"/>
      <sz val="10"/>
    </font>
    <font>
      <color rgb="0070AD47"/>
      <sz val="10"/>
    </font>
    <font>
      <color rgb="00ED7D31"/>
      <sz val="10"/>
    </font>
    <font>
      <color rgb="00C00000"/>
      <sz val="10"/>
    </font>
    <font>
      <name val="Calibri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3" fontId="6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3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8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3" fontId="12" fillId="0" borderId="1" applyAlignment="1" pivotButton="0" quotePrefix="0" xfId="0">
      <alignment horizontal="center"/>
    </xf>
    <xf numFmtId="0" fontId="13" fillId="4" borderId="1" pivotButton="0" quotePrefix="0" xfId="0"/>
    <xf numFmtId="0" fontId="0" fillId="4" borderId="1" pivotButton="0" quotePrefix="0" xfId="0"/>
    <xf numFmtId="0" fontId="14" fillId="5" borderId="1" pivotButton="0" quotePrefix="0" xfId="0"/>
    <xf numFmtId="0" fontId="0" fillId="5" borderId="1" pivotButton="0" quotePrefix="0" xfId="0"/>
    <xf numFmtId="3" fontId="14" fillId="5" borderId="1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165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13" fillId="6" borderId="1" pivotButton="0" quotePrefix="0" xfId="0"/>
    <xf numFmtId="0" fontId="0" fillId="6" borderId="1" pivotButton="0" quotePrefix="0" xfId="0"/>
    <xf numFmtId="3" fontId="6" fillId="3" borderId="1" applyAlignment="1" pivotButton="0" quotePrefix="0" xfId="0">
      <alignment horizontal="center"/>
    </xf>
    <xf numFmtId="0" fontId="18" fillId="5" borderId="1" pivotButton="0" quotePrefix="0" xfId="0"/>
    <xf numFmtId="3" fontId="6" fillId="5" borderId="1" applyAlignment="1" pivotButton="0" quotePrefix="0" xfId="0">
      <alignment horizontal="center"/>
    </xf>
    <xf numFmtId="0" fontId="13" fillId="7" borderId="1" pivotButton="0" quotePrefix="0" xfId="0"/>
    <xf numFmtId="0" fontId="0" fillId="7" borderId="1" pivotButton="0" quotePrefix="0" xfId="0"/>
    <xf numFmtId="0" fontId="13" fillId="8" borderId="1" pivotButton="0" quotePrefix="0" xfId="0"/>
    <xf numFmtId="0" fontId="0" fillId="8" borderId="1" pivotButton="0" quotePrefix="0" xfId="0"/>
    <xf numFmtId="0" fontId="20" fillId="0" borderId="0" pivotButton="0" quotePrefix="0" xfId="0"/>
    <xf numFmtId="164" fontId="7" fillId="0" borderId="1" applyAlignment="1" pivotButton="0" quotePrefix="0" xfId="0">
      <alignment horizontal="center"/>
    </xf>
    <xf numFmtId="0" fontId="9" fillId="0" borderId="0" pivotButton="0" quotePrefix="0" xfId="0"/>
    <xf numFmtId="0" fontId="21" fillId="0" borderId="1" applyAlignment="1" pivotButton="0" quotePrefix="0" xfId="0">
      <alignment vertical="center"/>
    </xf>
    <xf numFmtId="0" fontId="22" fillId="3" borderId="1" applyAlignment="1" pivotButton="0" quotePrefix="0" xfId="0">
      <alignment vertical="center"/>
    </xf>
    <xf numFmtId="0" fontId="21" fillId="3" borderId="1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23" fillId="3" borderId="1" applyAlignment="1" pivotButton="0" quotePrefix="0" xfId="0">
      <alignment vertical="center"/>
    </xf>
    <xf numFmtId="0" fontId="24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PLAN FINANCIERO - PAREJA MÉDICOS RESIDENTES</t>
        </is>
      </c>
    </row>
    <row r="3">
      <c r="B3" s="2" t="inlineStr">
        <is>
          <t>Uruguay · Pediatría &amp; Oncología Radioterápica</t>
        </is>
      </c>
    </row>
    <row r="5">
      <c r="B5" s="3" t="inlineStr">
        <is>
          <t>Resumen Mensual</t>
        </is>
      </c>
    </row>
    <row r="6">
      <c r="B6" s="4" t="inlineStr">
        <is>
          <t>Ingreso Neto - Pediatría</t>
        </is>
      </c>
      <c r="C6" s="5">
        <f>Ingresos!D21</f>
        <v/>
      </c>
    </row>
    <row r="7">
      <c r="B7" s="4" t="inlineStr">
        <is>
          <t>Ingreso Neto - Oncología RT</t>
        </is>
      </c>
      <c r="C7" s="5">
        <f>Ingresos!E21</f>
        <v/>
      </c>
    </row>
    <row r="8">
      <c r="B8" s="6" t="inlineStr">
        <is>
          <t>Total Ingresos Pareja</t>
        </is>
      </c>
      <c r="C8" s="7">
        <f>Ingresos!F21</f>
        <v/>
      </c>
    </row>
    <row r="9">
      <c r="B9" s="6" t="inlineStr">
        <is>
          <t>Total Gastos Mensuales</t>
        </is>
      </c>
      <c r="C9" s="5">
        <f>Gastos!H51</f>
        <v/>
      </c>
    </row>
    <row r="10">
      <c r="B10" s="6" t="inlineStr">
        <is>
          <t>Disponible para Ahorro</t>
        </is>
      </c>
      <c r="C10" s="8">
        <f>C8-C9</f>
        <v/>
      </c>
    </row>
    <row r="11">
      <c r="B11" s="6" t="inlineStr">
        <is>
          <t>Tasa de Ahorro</t>
        </is>
      </c>
      <c r="C11" s="9">
        <f>IF(C8&gt;0,C10/C8,0)</f>
        <v/>
      </c>
    </row>
    <row r="14">
      <c r="B14" s="3" t="inlineStr">
        <is>
          <t>Progreso de Objetivos</t>
        </is>
      </c>
    </row>
    <row r="15">
      <c r="B15" s="10" t="inlineStr">
        <is>
          <t>Objetivo</t>
        </is>
      </c>
      <c r="C15" s="10" t="inlineStr">
        <is>
          <t>Meta ($)</t>
        </is>
      </c>
      <c r="D15" s="10" t="inlineStr">
        <is>
          <t>Ahorrado ($)</t>
        </is>
      </c>
      <c r="E15" s="10" t="inlineStr">
        <is>
          <t>Progreso</t>
        </is>
      </c>
      <c r="F15" s="10" t="inlineStr">
        <is>
          <t>Plazo</t>
        </is>
      </c>
    </row>
    <row r="16">
      <c r="B16" s="11" t="inlineStr">
        <is>
          <t>Vacaciones Juntos</t>
        </is>
      </c>
      <c r="C16" s="12">
        <f>Objetivos!D6</f>
        <v/>
      </c>
      <c r="D16" s="12">
        <f>Objetivos!E6</f>
        <v/>
      </c>
      <c r="E16" s="13">
        <f>IF(C16&gt;0,D16/C16,0)</f>
        <v/>
      </c>
      <c r="F16" s="11" t="inlineStr">
        <is>
          <t>corto</t>
        </is>
      </c>
    </row>
    <row r="17">
      <c r="B17" s="4" t="inlineStr">
        <is>
          <t>Ahorro Individual - Ella</t>
        </is>
      </c>
      <c r="C17" s="5">
        <f>Objetivos!D7</f>
        <v/>
      </c>
      <c r="D17" s="5">
        <f>Objetivos!E7</f>
        <v/>
      </c>
      <c r="E17" s="9">
        <f>IF(C17&gt;0,D17/C17,0)</f>
        <v/>
      </c>
      <c r="F17" s="4" t="inlineStr">
        <is>
          <t>corto-largo</t>
        </is>
      </c>
    </row>
    <row r="18">
      <c r="B18" s="11" t="inlineStr">
        <is>
          <t>Ahorro Individual - Él</t>
        </is>
      </c>
      <c r="C18" s="12">
        <f>Objetivos!D8</f>
        <v/>
      </c>
      <c r="D18" s="12">
        <f>Objetivos!E8</f>
        <v/>
      </c>
      <c r="E18" s="13">
        <f>IF(C18&gt;0,D18/C18,0)</f>
        <v/>
      </c>
      <c r="F18" s="11" t="inlineStr">
        <is>
          <t>corto-largo</t>
        </is>
      </c>
    </row>
    <row r="19">
      <c r="B19" s="4" t="inlineStr">
        <is>
          <t>Compra Inmueble</t>
        </is>
      </c>
      <c r="C19" s="5">
        <f>Objetivos!D9</f>
        <v/>
      </c>
      <c r="D19" s="5">
        <f>Objetivos!E9</f>
        <v/>
      </c>
      <c r="E19" s="9">
        <f>IF(C19&gt;0,D19/C19,0)</f>
        <v/>
      </c>
      <c r="F19" s="4" t="inlineStr">
        <is>
          <t>mediano</t>
        </is>
      </c>
    </row>
    <row r="20">
      <c r="B20" s="11" t="inlineStr">
        <is>
          <t>Retiro / Inversiones</t>
        </is>
      </c>
      <c r="C20" s="12">
        <f>Objetivos!D10</f>
        <v/>
      </c>
      <c r="D20" s="12">
        <f>Objetivos!E10</f>
        <v/>
      </c>
      <c r="E20" s="13">
        <f>IF(C20&gt;0,D20/C20,0)</f>
        <v/>
      </c>
      <c r="F20" s="11" t="inlineStr">
        <is>
          <t>largo</t>
        </is>
      </c>
    </row>
    <row r="23">
      <c r="B23" s="3" t="inlineStr">
        <is>
          <t>Distribución Sugerida del Ahorro</t>
        </is>
      </c>
    </row>
    <row r="24">
      <c r="B24" s="10" t="inlineStr">
        <is>
          <t>Categoría</t>
        </is>
      </c>
      <c r="C24" s="10" t="inlineStr">
        <is>
          <t>% Sugerido</t>
        </is>
      </c>
      <c r="D24" s="10" t="inlineStr">
        <is>
          <t>Monto Mensual</t>
        </is>
      </c>
    </row>
    <row r="25">
      <c r="B25" s="4" t="inlineStr">
        <is>
          <t>Fondo de Emergencia (3-6 meses gastos)</t>
        </is>
      </c>
      <c r="C25" s="9" t="n">
        <v>0.2</v>
      </c>
      <c r="D25" s="5">
        <f>C25*Dashboard!C10</f>
        <v/>
      </c>
    </row>
    <row r="26">
      <c r="B26" s="11" t="inlineStr">
        <is>
          <t>Vacaciones</t>
        </is>
      </c>
      <c r="C26" s="13" t="n">
        <v>0.1</v>
      </c>
      <c r="D26" s="12">
        <f>C26*Dashboard!C10</f>
        <v/>
      </c>
    </row>
    <row r="27">
      <c r="B27" s="4" t="inlineStr">
        <is>
          <t>Ahorro Individual (c/u)</t>
        </is>
      </c>
      <c r="C27" s="9" t="n">
        <v>0.15</v>
      </c>
      <c r="D27" s="5">
        <f>C27*Dashboard!C10</f>
        <v/>
      </c>
    </row>
    <row r="28">
      <c r="B28" s="11" t="inlineStr">
        <is>
          <t>Inmueble</t>
        </is>
      </c>
      <c r="C28" s="13" t="n">
        <v>0.3</v>
      </c>
      <c r="D28" s="12">
        <f>C28*Dashboard!C10</f>
        <v/>
      </c>
    </row>
    <row r="29">
      <c r="B29" s="4" t="inlineStr">
        <is>
          <t>Retiro / Inversiones</t>
        </is>
      </c>
      <c r="C29" s="9" t="n">
        <v>0.25</v>
      </c>
      <c r="D29" s="5">
        <f>C29*Dashboard!C10</f>
        <v/>
      </c>
    </row>
    <row r="32">
      <c r="B32" s="3" t="inlineStr">
        <is>
          <t>Notas</t>
        </is>
      </c>
    </row>
    <row r="33">
      <c r="B33" s="14" t="inlineStr">
        <is>
          <t>• Los montos están en pesos uruguayos (UYU). Ajustar si usan USD.</t>
        </is>
      </c>
    </row>
    <row r="34">
      <c r="B34" s="14" t="inlineStr">
        <is>
          <t>• Completar primero las hojas Ingresos y Gastos.</t>
        </is>
      </c>
    </row>
    <row r="35">
      <c r="B35" s="14" t="inlineStr">
        <is>
          <t>• Los objetivos se configuran en la hoja Objetivos.</t>
        </is>
      </c>
    </row>
    <row r="36">
      <c r="B36" s="14" t="inlineStr">
        <is>
          <t>• El seguimiento mensual se hace en la hoja Seguimiento.</t>
        </is>
      </c>
    </row>
    <row r="37">
      <c r="B37" s="14" t="inlineStr">
        <is>
          <t>• Adaptar los % de distribución a su realidad.</t>
        </is>
      </c>
    </row>
  </sheetData>
  <mergeCells count="2">
    <mergeCell ref="B2:F2"/>
    <mergeCell ref="B3:F3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5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INGRESOS MENSUALES</t>
        </is>
      </c>
    </row>
    <row r="4">
      <c r="B4" s="10" t="inlineStr">
        <is>
          <t>Concepto</t>
        </is>
      </c>
      <c r="C4" s="10" t="inlineStr"/>
      <c r="D4" s="10" t="inlineStr">
        <is>
          <t>Pediatría (Ella)</t>
        </is>
      </c>
      <c r="E4" s="10" t="inlineStr">
        <is>
          <t>Oncología RT (Él)</t>
        </is>
      </c>
      <c r="F4" s="10" t="inlineStr">
        <is>
          <t>Total</t>
        </is>
      </c>
    </row>
    <row r="5">
      <c r="B5" s="4" t="inlineStr">
        <is>
          <t>Salario Base Residencia</t>
        </is>
      </c>
      <c r="C5" s="15" t="n"/>
      <c r="D5" s="16" t="n"/>
      <c r="E5" s="16" t="n"/>
      <c r="F5" s="5">
        <f>D5+E5</f>
        <v/>
      </c>
    </row>
    <row r="6">
      <c r="B6" s="11" t="inlineStr">
        <is>
          <t>Guardias / Horas Extra</t>
        </is>
      </c>
      <c r="C6" s="17" t="n"/>
      <c r="D6" s="18" t="n"/>
      <c r="E6" s="18" t="n"/>
      <c r="F6" s="12">
        <f>D6+E6</f>
        <v/>
      </c>
    </row>
    <row r="7">
      <c r="B7" s="4" t="inlineStr">
        <is>
          <t>Otros Ingresos (docencia, etc.)</t>
        </is>
      </c>
      <c r="C7" s="15" t="n"/>
      <c r="D7" s="16" t="n"/>
      <c r="E7" s="16" t="n"/>
      <c r="F7" s="5">
        <f>D7+E7</f>
        <v/>
      </c>
    </row>
    <row r="8">
      <c r="B8" s="11" t="inlineStr">
        <is>
          <t>Aguinaldo (prorrateo mensual)</t>
        </is>
      </c>
      <c r="C8" s="17" t="n"/>
      <c r="D8" s="18" t="n"/>
      <c r="E8" s="18" t="n"/>
      <c r="F8" s="12">
        <f>D8+E8</f>
        <v/>
      </c>
    </row>
    <row r="9">
      <c r="B9" s="4" t="inlineStr">
        <is>
          <t>Ingresos Extras</t>
        </is>
      </c>
      <c r="C9" s="15" t="n"/>
      <c r="D9" s="16" t="n"/>
      <c r="E9" s="16" t="n"/>
      <c r="F9" s="5">
        <f>D9+E9</f>
        <v/>
      </c>
    </row>
    <row r="10">
      <c r="B10" s="10" t="inlineStr">
        <is>
          <t>TOTAL INGRESOS BRUTOS</t>
        </is>
      </c>
      <c r="C10" s="10" t="n"/>
      <c r="D10" s="19">
        <f>SUM(D5:D9)</f>
        <v/>
      </c>
      <c r="E10" s="19">
        <f>SUM(E5:E9)</f>
        <v/>
      </c>
      <c r="F10" s="19">
        <f>D10+E10</f>
        <v/>
      </c>
    </row>
    <row r="12">
      <c r="B12" s="3" t="inlineStr">
        <is>
          <t>Deducciones</t>
        </is>
      </c>
    </row>
    <row r="13">
      <c r="B13" s="10" t="inlineStr">
        <is>
          <t>Concepto</t>
        </is>
      </c>
      <c r="C13" s="10" t="inlineStr"/>
      <c r="D13" s="10" t="inlineStr">
        <is>
          <t>Pediatría (Ella)</t>
        </is>
      </c>
      <c r="E13" s="10" t="inlineStr">
        <is>
          <t>Oncología RT (Él)</t>
        </is>
      </c>
      <c r="F13" s="10" t="inlineStr">
        <is>
          <t>Total</t>
        </is>
      </c>
    </row>
    <row r="14">
      <c r="B14" s="11" t="inlineStr">
        <is>
          <t>BPS (Aporte jubilatorio)</t>
        </is>
      </c>
      <c r="C14" s="17" t="n"/>
      <c r="D14" s="18" t="n"/>
      <c r="E14" s="18" t="n"/>
      <c r="F14" s="12">
        <f>D14+E14</f>
        <v/>
      </c>
    </row>
    <row r="15">
      <c r="B15" s="4" t="inlineStr">
        <is>
          <t>FONASA (Salud)</t>
        </is>
      </c>
      <c r="C15" s="15" t="n"/>
      <c r="D15" s="16" t="n"/>
      <c r="E15" s="16" t="n"/>
      <c r="F15" s="5">
        <f>D15+E15</f>
        <v/>
      </c>
    </row>
    <row r="16">
      <c r="B16" s="11" t="inlineStr">
        <is>
          <t>IRPF</t>
        </is>
      </c>
      <c r="C16" s="17" t="n"/>
      <c r="D16" s="18" t="n"/>
      <c r="E16" s="18" t="n"/>
      <c r="F16" s="12">
        <f>D16+E16</f>
        <v/>
      </c>
    </row>
    <row r="17">
      <c r="B17" s="4" t="inlineStr">
        <is>
          <t>Fondo de Solidaridad</t>
        </is>
      </c>
      <c r="C17" s="15" t="n"/>
      <c r="D17" s="16" t="n"/>
      <c r="E17" s="16" t="n"/>
      <c r="F17" s="5">
        <f>D17+E17</f>
        <v/>
      </c>
    </row>
    <row r="18">
      <c r="B18" s="11" t="inlineStr">
        <is>
          <t>Otras deducciones</t>
        </is>
      </c>
      <c r="C18" s="17" t="n"/>
      <c r="D18" s="18" t="n"/>
      <c r="E18" s="18" t="n"/>
      <c r="F18" s="12">
        <f>D18+E18</f>
        <v/>
      </c>
    </row>
    <row r="19">
      <c r="B19" s="10" t="inlineStr">
        <is>
          <t>TOTAL DEDUCCIONES</t>
        </is>
      </c>
      <c r="C19" s="10" t="n"/>
      <c r="D19" s="19">
        <f>SUM(D14:D18)</f>
        <v/>
      </c>
      <c r="E19" s="19">
        <f>SUM(E14:E18)</f>
        <v/>
      </c>
      <c r="F19" s="19">
        <f>D19+E19</f>
        <v/>
      </c>
    </row>
    <row r="21">
      <c r="B21" s="20" t="inlineStr">
        <is>
          <t>INGRESO NETO MENSUAL</t>
        </is>
      </c>
      <c r="D21" s="21">
        <f>D10-D19</f>
        <v/>
      </c>
      <c r="E21" s="21">
        <f>E10-E19</f>
        <v/>
      </c>
      <c r="F21" s="21">
        <f>D21+E21</f>
        <v/>
      </c>
    </row>
  </sheetData>
  <mergeCells count="1">
    <mergeCell ref="B2:F2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2:H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5" customWidth="1" min="3" max="3"/>
    <col width="18" customWidth="1" min="4" max="4"/>
    <col width="18" customWidth="1" min="5" max="5"/>
    <col width="18" customWidth="1" min="6" max="6"/>
    <col width="5" customWidth="1" min="7" max="7"/>
    <col width="22" customWidth="1" min="8" max="8"/>
  </cols>
  <sheetData>
    <row r="2">
      <c r="B2" s="1" t="inlineStr">
        <is>
          <t>GASTOS MENSUALES DETALLADOS</t>
        </is>
      </c>
    </row>
    <row r="4">
      <c r="B4" s="10" t="inlineStr">
        <is>
          <t>Categoría / Concepto</t>
        </is>
      </c>
      <c r="C4" s="10" t="inlineStr"/>
      <c r="D4" s="10" t="inlineStr">
        <is>
          <t>Ella</t>
        </is>
      </c>
      <c r="E4" s="10" t="inlineStr">
        <is>
          <t>Él</t>
        </is>
      </c>
      <c r="F4" s="10" t="inlineStr">
        <is>
          <t>Compartido</t>
        </is>
      </c>
      <c r="G4" s="10" t="inlineStr"/>
      <c r="H4" s="10" t="inlineStr">
        <is>
          <t>Total</t>
        </is>
      </c>
    </row>
    <row r="5">
      <c r="B5" s="22" t="inlineStr">
        <is>
          <t>VIVIENDA</t>
        </is>
      </c>
      <c r="C5" s="23" t="n"/>
      <c r="D5" s="23" t="n"/>
      <c r="E5" s="23" t="n"/>
      <c r="F5" s="23" t="n"/>
      <c r="G5" s="23" t="n"/>
      <c r="H5" s="23" t="n"/>
    </row>
    <row r="6">
      <c r="B6" s="11" t="inlineStr">
        <is>
          <t xml:space="preserve">  Alquiler</t>
        </is>
      </c>
      <c r="C6" s="17" t="n"/>
      <c r="D6" s="18" t="n"/>
      <c r="E6" s="18" t="n"/>
      <c r="F6" s="18" t="n"/>
      <c r="G6" s="17" t="n"/>
      <c r="H6" s="12">
        <f>D6+E6+F6</f>
        <v/>
      </c>
    </row>
    <row r="7">
      <c r="B7" s="4" t="inlineStr">
        <is>
          <t xml:space="preserve">  Gastos comunes / Expensas</t>
        </is>
      </c>
      <c r="C7" s="15" t="n"/>
      <c r="D7" s="16" t="n"/>
      <c r="E7" s="16" t="n"/>
      <c r="F7" s="16" t="n"/>
      <c r="G7" s="15" t="n"/>
      <c r="H7" s="5">
        <f>D7+E7+F7</f>
        <v/>
      </c>
    </row>
    <row r="8">
      <c r="B8" s="11" t="inlineStr">
        <is>
          <t xml:space="preserve">  Electricidad (UTE)</t>
        </is>
      </c>
      <c r="C8" s="17" t="n"/>
      <c r="D8" s="18" t="n"/>
      <c r="E8" s="18" t="n"/>
      <c r="F8" s="18" t="n"/>
      <c r="G8" s="17" t="n"/>
      <c r="H8" s="12">
        <f>D8+E8+F8</f>
        <v/>
      </c>
    </row>
    <row r="9">
      <c r="B9" s="4" t="inlineStr">
        <is>
          <t xml:space="preserve">  Agua (OSE)</t>
        </is>
      </c>
      <c r="C9" s="15" t="n"/>
      <c r="D9" s="16" t="n"/>
      <c r="E9" s="16" t="n"/>
      <c r="F9" s="16" t="n"/>
      <c r="G9" s="15" t="n"/>
      <c r="H9" s="5">
        <f>D9+E9+F9</f>
        <v/>
      </c>
    </row>
    <row r="10">
      <c r="B10" s="11" t="inlineStr">
        <is>
          <t xml:space="preserve">  Internet / Cable</t>
        </is>
      </c>
      <c r="C10" s="17" t="n"/>
      <c r="D10" s="18" t="n"/>
      <c r="E10" s="18" t="n"/>
      <c r="F10" s="18" t="n"/>
      <c r="G10" s="17" t="n"/>
      <c r="H10" s="12">
        <f>D10+E10+F10</f>
        <v/>
      </c>
    </row>
    <row r="11">
      <c r="B11" s="4" t="inlineStr">
        <is>
          <t xml:space="preserve">  Gas</t>
        </is>
      </c>
      <c r="C11" s="15" t="n"/>
      <c r="D11" s="16" t="n"/>
      <c r="E11" s="16" t="n"/>
      <c r="F11" s="16" t="n"/>
      <c r="G11" s="15" t="n"/>
      <c r="H11" s="5">
        <f>D11+E11+F11</f>
        <v/>
      </c>
    </row>
    <row r="12">
      <c r="B12" s="11" t="inlineStr">
        <is>
          <t xml:space="preserve">  Seguro hogar</t>
        </is>
      </c>
      <c r="C12" s="17" t="n"/>
      <c r="D12" s="18" t="n"/>
      <c r="E12" s="18" t="n"/>
      <c r="F12" s="18" t="n"/>
      <c r="G12" s="17" t="n"/>
      <c r="H12" s="12">
        <f>D12+E12+F12</f>
        <v/>
      </c>
    </row>
    <row r="13">
      <c r="B13" s="24" t="inlineStr">
        <is>
          <t xml:space="preserve">  Subtotal Vivienda</t>
        </is>
      </c>
      <c r="C13" s="25" t="n"/>
      <c r="D13" s="26">
        <f>SUM(D6:D12)</f>
        <v/>
      </c>
      <c r="E13" s="26">
        <f>SUM(E6:E12)</f>
        <v/>
      </c>
      <c r="F13" s="26">
        <f>SUM(F6:F12)</f>
        <v/>
      </c>
      <c r="G13" s="25" t="n"/>
      <c r="H13" s="26">
        <f>SUM(H6:H12)</f>
        <v/>
      </c>
    </row>
    <row r="14">
      <c r="B14" s="22" t="inlineStr">
        <is>
          <t>ALIMENTACIÓN</t>
        </is>
      </c>
      <c r="C14" s="23" t="n"/>
      <c r="D14" s="23" t="n"/>
      <c r="E14" s="23" t="n"/>
      <c r="F14" s="23" t="n"/>
      <c r="G14" s="23" t="n"/>
      <c r="H14" s="23" t="n"/>
    </row>
    <row r="15">
      <c r="B15" s="4" t="inlineStr">
        <is>
          <t xml:space="preserve">  Supermercado / Almacén</t>
        </is>
      </c>
      <c r="C15" s="15" t="n"/>
      <c r="D15" s="16" t="n"/>
      <c r="E15" s="16" t="n"/>
      <c r="F15" s="16" t="n"/>
      <c r="G15" s="15" t="n"/>
      <c r="H15" s="5">
        <f>D15+E15+F15</f>
        <v/>
      </c>
    </row>
    <row r="16">
      <c r="B16" s="11" t="inlineStr">
        <is>
          <t xml:space="preserve">  Feria / Verdulería</t>
        </is>
      </c>
      <c r="C16" s="17" t="n"/>
      <c r="D16" s="18" t="n"/>
      <c r="E16" s="18" t="n"/>
      <c r="F16" s="18" t="n"/>
      <c r="G16" s="17" t="n"/>
      <c r="H16" s="12">
        <f>D16+E16+F16</f>
        <v/>
      </c>
    </row>
    <row r="17">
      <c r="B17" s="4" t="inlineStr">
        <is>
          <t xml:space="preserve">  Delivery / Comer afuera</t>
        </is>
      </c>
      <c r="C17" s="15" t="n"/>
      <c r="D17" s="16" t="n"/>
      <c r="E17" s="16" t="n"/>
      <c r="F17" s="16" t="n"/>
      <c r="G17" s="15" t="n"/>
      <c r="H17" s="5">
        <f>D17+E17+F17</f>
        <v/>
      </c>
    </row>
    <row r="18">
      <c r="B18" s="11" t="inlineStr">
        <is>
          <t xml:space="preserve">  Agua / Bebidas</t>
        </is>
      </c>
      <c r="C18" s="17" t="n"/>
      <c r="D18" s="18" t="n"/>
      <c r="E18" s="18" t="n"/>
      <c r="F18" s="18" t="n"/>
      <c r="G18" s="17" t="n"/>
      <c r="H18" s="12">
        <f>D18+E18+F18</f>
        <v/>
      </c>
    </row>
    <row r="19">
      <c r="B19" s="24" t="inlineStr">
        <is>
          <t xml:space="preserve">  Subtotal Alimentación</t>
        </is>
      </c>
      <c r="C19" s="25" t="n"/>
      <c r="D19" s="26">
        <f>SUM(D15:D18)</f>
        <v/>
      </c>
      <c r="E19" s="26">
        <f>SUM(E15:E18)</f>
        <v/>
      </c>
      <c r="F19" s="26">
        <f>SUM(F15:F18)</f>
        <v/>
      </c>
      <c r="G19" s="25" t="n"/>
      <c r="H19" s="26">
        <f>SUM(H15:H18)</f>
        <v/>
      </c>
    </row>
    <row r="20">
      <c r="B20" s="22" t="inlineStr">
        <is>
          <t>TRANSPORTE</t>
        </is>
      </c>
      <c r="C20" s="23" t="n"/>
      <c r="D20" s="23" t="n"/>
      <c r="E20" s="23" t="n"/>
      <c r="F20" s="23" t="n"/>
      <c r="G20" s="23" t="n"/>
      <c r="H20" s="23" t="n"/>
    </row>
    <row r="21">
      <c r="B21" s="4" t="inlineStr">
        <is>
          <t xml:space="preserve">  Combustible</t>
        </is>
      </c>
      <c r="C21" s="15" t="n"/>
      <c r="D21" s="16" t="n"/>
      <c r="E21" s="16" t="n"/>
      <c r="F21" s="16" t="n"/>
      <c r="G21" s="15" t="n"/>
      <c r="H21" s="5">
        <f>D21+E21+F21</f>
        <v/>
      </c>
    </row>
    <row r="22">
      <c r="B22" s="11" t="inlineStr">
        <is>
          <t xml:space="preserve">  Estacionamiento</t>
        </is>
      </c>
      <c r="C22" s="17" t="n"/>
      <c r="D22" s="18" t="n"/>
      <c r="E22" s="18" t="n"/>
      <c r="F22" s="18" t="n"/>
      <c r="G22" s="17" t="n"/>
      <c r="H22" s="12">
        <f>D22+E22+F22</f>
        <v/>
      </c>
    </row>
    <row r="23">
      <c r="B23" s="4" t="inlineStr">
        <is>
          <t xml:space="preserve">  Boleto / STM</t>
        </is>
      </c>
      <c r="C23" s="15" t="n"/>
      <c r="D23" s="16" t="n"/>
      <c r="E23" s="16" t="n"/>
      <c r="F23" s="16" t="n"/>
      <c r="G23" s="15" t="n"/>
      <c r="H23" s="5">
        <f>D23+E23+F23</f>
        <v/>
      </c>
    </row>
    <row r="24">
      <c r="B24" s="11" t="inlineStr">
        <is>
          <t xml:space="preserve">  Mantenimiento vehículo</t>
        </is>
      </c>
      <c r="C24" s="17" t="n"/>
      <c r="D24" s="18" t="n"/>
      <c r="E24" s="18" t="n"/>
      <c r="F24" s="18" t="n"/>
      <c r="G24" s="17" t="n"/>
      <c r="H24" s="12">
        <f>D24+E24+F24</f>
        <v/>
      </c>
    </row>
    <row r="25">
      <c r="B25" s="4" t="inlineStr">
        <is>
          <t xml:space="preserve">  Seguro vehículo</t>
        </is>
      </c>
      <c r="C25" s="15" t="n"/>
      <c r="D25" s="16" t="n"/>
      <c r="E25" s="16" t="n"/>
      <c r="F25" s="16" t="n"/>
      <c r="G25" s="15" t="n"/>
      <c r="H25" s="5">
        <f>D25+E25+F25</f>
        <v/>
      </c>
    </row>
    <row r="26">
      <c r="B26" s="24" t="inlineStr">
        <is>
          <t xml:space="preserve">  Subtotal Transporte</t>
        </is>
      </c>
      <c r="C26" s="25" t="n"/>
      <c r="D26" s="26">
        <f>SUM(D21:D25)</f>
        <v/>
      </c>
      <c r="E26" s="26">
        <f>SUM(E21:E25)</f>
        <v/>
      </c>
      <c r="F26" s="26">
        <f>SUM(F21:F25)</f>
        <v/>
      </c>
      <c r="G26" s="25" t="n"/>
      <c r="H26" s="26">
        <f>SUM(H21:H25)</f>
        <v/>
      </c>
    </row>
    <row r="27">
      <c r="B27" s="22" t="inlineStr">
        <is>
          <t>SALUD</t>
        </is>
      </c>
      <c r="C27" s="23" t="n"/>
      <c r="D27" s="23" t="n"/>
      <c r="E27" s="23" t="n"/>
      <c r="F27" s="23" t="n"/>
      <c r="G27" s="23" t="n"/>
      <c r="H27" s="23" t="n"/>
    </row>
    <row r="28">
      <c r="B28" s="11" t="inlineStr">
        <is>
          <t xml:space="preserve">  Mutualista / Emergencia médica</t>
        </is>
      </c>
      <c r="C28" s="17" t="n"/>
      <c r="D28" s="18" t="n"/>
      <c r="E28" s="18" t="n"/>
      <c r="F28" s="18" t="n"/>
      <c r="G28" s="17" t="n"/>
      <c r="H28" s="12">
        <f>D28+E28+F28</f>
        <v/>
      </c>
    </row>
    <row r="29">
      <c r="B29" s="4" t="inlineStr">
        <is>
          <t xml:space="preserve">  Medicamentos</t>
        </is>
      </c>
      <c r="C29" s="15" t="n"/>
      <c r="D29" s="16" t="n"/>
      <c r="E29" s="16" t="n"/>
      <c r="F29" s="16" t="n"/>
      <c r="G29" s="15" t="n"/>
      <c r="H29" s="5">
        <f>D29+E29+F29</f>
        <v/>
      </c>
    </row>
    <row r="30">
      <c r="B30" s="11" t="inlineStr">
        <is>
          <t xml:space="preserve">  Odontología</t>
        </is>
      </c>
      <c r="C30" s="17" t="n"/>
      <c r="D30" s="18" t="n"/>
      <c r="E30" s="18" t="n"/>
      <c r="F30" s="18" t="n"/>
      <c r="G30" s="17" t="n"/>
      <c r="H30" s="12">
        <f>D30+E30+F30</f>
        <v/>
      </c>
    </row>
    <row r="31">
      <c r="B31" s="4" t="inlineStr">
        <is>
          <t xml:space="preserve">  Gimnasio / Deporte</t>
        </is>
      </c>
      <c r="C31" s="15" t="n"/>
      <c r="D31" s="16" t="n"/>
      <c r="E31" s="16" t="n"/>
      <c r="F31" s="16" t="n"/>
      <c r="G31" s="15" t="n"/>
      <c r="H31" s="5">
        <f>D31+E31+F31</f>
        <v/>
      </c>
    </row>
    <row r="32">
      <c r="B32" s="24" t="inlineStr">
        <is>
          <t xml:space="preserve">  Subtotal Salud</t>
        </is>
      </c>
      <c r="C32" s="25" t="n"/>
      <c r="D32" s="26">
        <f>SUM(D28:D31)</f>
        <v/>
      </c>
      <c r="E32" s="26">
        <f>SUM(E28:E31)</f>
        <v/>
      </c>
      <c r="F32" s="26">
        <f>SUM(F28:F31)</f>
        <v/>
      </c>
      <c r="G32" s="25" t="n"/>
      <c r="H32" s="26">
        <f>SUM(H28:H31)</f>
        <v/>
      </c>
    </row>
    <row r="33">
      <c r="B33" s="22" t="inlineStr">
        <is>
          <t>EDUCACIÓN Y FORMACIÓN</t>
        </is>
      </c>
      <c r="C33" s="23" t="n"/>
      <c r="D33" s="23" t="n"/>
      <c r="E33" s="23" t="n"/>
      <c r="F33" s="23" t="n"/>
      <c r="G33" s="23" t="n"/>
      <c r="H33" s="23" t="n"/>
    </row>
    <row r="34">
      <c r="B34" s="11" t="inlineStr">
        <is>
          <t xml:space="preserve">  Cursos / Congresos</t>
        </is>
      </c>
      <c r="C34" s="17" t="n"/>
      <c r="D34" s="18" t="n"/>
      <c r="E34" s="18" t="n"/>
      <c r="F34" s="18" t="n"/>
      <c r="G34" s="17" t="n"/>
      <c r="H34" s="12">
        <f>D34+E34+F34</f>
        <v/>
      </c>
    </row>
    <row r="35">
      <c r="B35" s="4" t="inlineStr">
        <is>
          <t xml:space="preserve">  Libros / Material</t>
        </is>
      </c>
      <c r="C35" s="15" t="n"/>
      <c r="D35" s="16" t="n"/>
      <c r="E35" s="16" t="n"/>
      <c r="F35" s="16" t="n"/>
      <c r="G35" s="15" t="n"/>
      <c r="H35" s="5">
        <f>D35+E35+F35</f>
        <v/>
      </c>
    </row>
    <row r="36">
      <c r="B36" s="11" t="inlineStr">
        <is>
          <t xml:space="preserve">  Cuotas postgrado</t>
        </is>
      </c>
      <c r="C36" s="17" t="n"/>
      <c r="D36" s="18" t="n"/>
      <c r="E36" s="18" t="n"/>
      <c r="F36" s="18" t="n"/>
      <c r="G36" s="17" t="n"/>
      <c r="H36" s="12">
        <f>D36+E36+F36</f>
        <v/>
      </c>
    </row>
    <row r="37">
      <c r="B37" s="24" t="inlineStr">
        <is>
          <t xml:space="preserve">  Subtotal Educación Y Formación</t>
        </is>
      </c>
      <c r="C37" s="25" t="n"/>
      <c r="D37" s="26">
        <f>SUM(D34:D36)</f>
        <v/>
      </c>
      <c r="E37" s="26">
        <f>SUM(E34:E36)</f>
        <v/>
      </c>
      <c r="F37" s="26">
        <f>SUM(F34:F36)</f>
        <v/>
      </c>
      <c r="G37" s="25" t="n"/>
      <c r="H37" s="26">
        <f>SUM(H34:H36)</f>
        <v/>
      </c>
    </row>
    <row r="38">
      <c r="B38" s="22" t="inlineStr">
        <is>
          <t>PERSONAL Y OCIO</t>
        </is>
      </c>
      <c r="C38" s="23" t="n"/>
      <c r="D38" s="23" t="n"/>
      <c r="E38" s="23" t="n"/>
      <c r="F38" s="23" t="n"/>
      <c r="G38" s="23" t="n"/>
      <c r="H38" s="23" t="n"/>
    </row>
    <row r="39">
      <c r="B39" s="4" t="inlineStr">
        <is>
          <t xml:space="preserve">  Ropa</t>
        </is>
      </c>
      <c r="C39" s="15" t="n"/>
      <c r="D39" s="16" t="n"/>
      <c r="E39" s="16" t="n"/>
      <c r="F39" s="16" t="n"/>
      <c r="G39" s="15" t="n"/>
      <c r="H39" s="5">
        <f>D39+E39+F39</f>
        <v/>
      </c>
    </row>
    <row r="40">
      <c r="B40" s="11" t="inlineStr">
        <is>
          <t xml:space="preserve">  Higiene / Cuidado personal</t>
        </is>
      </c>
      <c r="C40" s="17" t="n"/>
      <c r="D40" s="18" t="n"/>
      <c r="E40" s="18" t="n"/>
      <c r="F40" s="18" t="n"/>
      <c r="G40" s="17" t="n"/>
      <c r="H40" s="12">
        <f>D40+E40+F40</f>
        <v/>
      </c>
    </row>
    <row r="41">
      <c r="B41" s="4" t="inlineStr">
        <is>
          <t xml:space="preserve">  Entretenimiento / Salidas</t>
        </is>
      </c>
      <c r="C41" s="15" t="n"/>
      <c r="D41" s="16" t="n"/>
      <c r="E41" s="16" t="n"/>
      <c r="F41" s="16" t="n"/>
      <c r="G41" s="15" t="n"/>
      <c r="H41" s="5">
        <f>D41+E41+F41</f>
        <v/>
      </c>
    </row>
    <row r="42">
      <c r="B42" s="11" t="inlineStr">
        <is>
          <t xml:space="preserve">  Suscripciones (Netflix, Spotify, etc.)</t>
        </is>
      </c>
      <c r="C42" s="17" t="n"/>
      <c r="D42" s="18" t="n"/>
      <c r="E42" s="18" t="n"/>
      <c r="F42" s="18" t="n"/>
      <c r="G42" s="17" t="n"/>
      <c r="H42" s="12">
        <f>D42+E42+F42</f>
        <v/>
      </c>
    </row>
    <row r="43">
      <c r="B43" s="4" t="inlineStr">
        <is>
          <t xml:space="preserve">  Celular</t>
        </is>
      </c>
      <c r="C43" s="15" t="n"/>
      <c r="D43" s="16" t="n"/>
      <c r="E43" s="16" t="n"/>
      <c r="F43" s="16" t="n"/>
      <c r="G43" s="15" t="n"/>
      <c r="H43" s="5">
        <f>D43+E43+F43</f>
        <v/>
      </c>
    </row>
    <row r="44">
      <c r="B44" s="24" t="inlineStr">
        <is>
          <t xml:space="preserve">  Subtotal Personal Y Ocio</t>
        </is>
      </c>
      <c r="C44" s="25" t="n"/>
      <c r="D44" s="26">
        <f>SUM(D39:D43)</f>
        <v/>
      </c>
      <c r="E44" s="26">
        <f>SUM(E39:E43)</f>
        <v/>
      </c>
      <c r="F44" s="26">
        <f>SUM(F39:F43)</f>
        <v/>
      </c>
      <c r="G44" s="25" t="n"/>
      <c r="H44" s="26">
        <f>SUM(H39:H43)</f>
        <v/>
      </c>
    </row>
    <row r="45">
      <c r="B45" s="22" t="inlineStr">
        <is>
          <t>FINANCIERO</t>
        </is>
      </c>
      <c r="C45" s="23" t="n"/>
      <c r="D45" s="23" t="n"/>
      <c r="E45" s="23" t="n"/>
      <c r="F45" s="23" t="n"/>
      <c r="G45" s="23" t="n"/>
      <c r="H45" s="23" t="n"/>
    </row>
    <row r="46">
      <c r="B46" s="11" t="inlineStr">
        <is>
          <t xml:space="preserve">  Cuota préstamo / Tarjeta</t>
        </is>
      </c>
      <c r="C46" s="17" t="n"/>
      <c r="D46" s="18" t="n"/>
      <c r="E46" s="18" t="n"/>
      <c r="F46" s="18" t="n"/>
      <c r="G46" s="17" t="n"/>
      <c r="H46" s="12">
        <f>D46+E46+F46</f>
        <v/>
      </c>
    </row>
    <row r="47">
      <c r="B47" s="4" t="inlineStr">
        <is>
          <t xml:space="preserve">  Seguros de vida</t>
        </is>
      </c>
      <c r="C47" s="15" t="n"/>
      <c r="D47" s="16" t="n"/>
      <c r="E47" s="16" t="n"/>
      <c r="F47" s="16" t="n"/>
      <c r="G47" s="15" t="n"/>
      <c r="H47" s="5">
        <f>D47+E47+F47</f>
        <v/>
      </c>
    </row>
    <row r="48">
      <c r="B48" s="11" t="inlineStr">
        <is>
          <t xml:space="preserve">  Otros financieros</t>
        </is>
      </c>
      <c r="C48" s="17" t="n"/>
      <c r="D48" s="18" t="n"/>
      <c r="E48" s="18" t="n"/>
      <c r="F48" s="18" t="n"/>
      <c r="G48" s="17" t="n"/>
      <c r="H48" s="12">
        <f>D48+E48+F48</f>
        <v/>
      </c>
    </row>
    <row r="49">
      <c r="B49" s="24" t="inlineStr">
        <is>
          <t xml:space="preserve">  Subtotal Financiero</t>
        </is>
      </c>
      <c r="C49" s="25" t="n"/>
      <c r="D49" s="26">
        <f>SUM(D46:D48)</f>
        <v/>
      </c>
      <c r="E49" s="26">
        <f>SUM(E46:E48)</f>
        <v/>
      </c>
      <c r="F49" s="26">
        <f>SUM(F46:F48)</f>
        <v/>
      </c>
      <c r="G49" s="25" t="n"/>
      <c r="H49" s="26">
        <f>SUM(H46:H48)</f>
        <v/>
      </c>
    </row>
    <row r="51">
      <c r="B51" s="10" t="inlineStr">
        <is>
          <t>TOTAL GASTOS MENSUALES</t>
        </is>
      </c>
      <c r="C51" s="10" t="n"/>
      <c r="D51" s="19">
        <f>D13+D19+D26+D32+D37+D44+D49</f>
        <v/>
      </c>
      <c r="E51" s="19">
        <f>E13+E19+E26+E32+E37+E44+E49</f>
        <v/>
      </c>
      <c r="F51" s="19">
        <f>F13+F19+F26+F32+F37+F44+F49</f>
        <v/>
      </c>
      <c r="G51" s="10" t="n"/>
      <c r="H51" s="19">
        <f>H13+H19+H26+H32+H37+H44+H49</f>
        <v/>
      </c>
    </row>
  </sheetData>
  <mergeCells count="1">
    <mergeCell ref="B2:H2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20" customWidth="1" min="8" max="8"/>
    <col width="20" customWidth="1" min="9" max="9"/>
  </cols>
  <sheetData>
    <row r="2">
      <c r="B2" s="1" t="inlineStr">
        <is>
          <t>OBJETIVOS DE AHORRO E INVERSIÓN</t>
        </is>
      </c>
    </row>
    <row r="3">
      <c r="B3" s="27" t="inlineStr">
        <is>
          <t>Definir metas claras con plazos y montos específicos</t>
        </is>
      </c>
    </row>
    <row r="5">
      <c r="B5" s="10" t="inlineStr">
        <is>
          <t>Objetivo</t>
        </is>
      </c>
      <c r="C5" s="10" t="inlineStr">
        <is>
          <t>Plazo</t>
        </is>
      </c>
      <c r="D5" s="10" t="inlineStr">
        <is>
          <t>Meta Total ($)</t>
        </is>
      </c>
      <c r="E5" s="10" t="inlineStr">
        <is>
          <t>Ahorrado ($)</t>
        </is>
      </c>
      <c r="F5" s="10" t="inlineStr">
        <is>
          <t>Restante ($)</t>
        </is>
      </c>
      <c r="G5" s="10" t="inlineStr">
        <is>
          <t>Ahorro Mensual Req.</t>
        </is>
      </c>
      <c r="H5" s="10" t="inlineStr">
        <is>
          <t>Fecha Inicio</t>
        </is>
      </c>
      <c r="I5" s="10" t="inlineStr">
        <is>
          <t>Fecha Meta</t>
        </is>
      </c>
    </row>
    <row r="6">
      <c r="B6" s="28" t="inlineStr">
        <is>
          <t>1. Vacaciones Juntos</t>
        </is>
      </c>
      <c r="C6" s="11" t="inlineStr">
        <is>
          <t>Corto (6-12 meses)</t>
        </is>
      </c>
      <c r="D6" s="18" t="n"/>
      <c r="E6" s="18" t="n"/>
      <c r="F6" s="12">
        <f>D6-E6</f>
        <v/>
      </c>
      <c r="G6" s="12">
        <f>IF(AND(H6&lt;&gt;"",I6&lt;&gt;""),F6/MAX((I6-H6)/30,1),0)</f>
        <v/>
      </c>
      <c r="H6" s="29" t="n"/>
      <c r="I6" s="29" t="n"/>
    </row>
    <row r="7">
      <c r="B7" s="6" t="inlineStr">
        <is>
          <t>2. Ahorro Individual - Ella</t>
        </is>
      </c>
      <c r="C7" s="4" t="inlineStr">
        <is>
          <t>Corto-Largo</t>
        </is>
      </c>
      <c r="D7" s="16" t="n"/>
      <c r="E7" s="16" t="n"/>
      <c r="F7" s="5">
        <f>D7-E7</f>
        <v/>
      </c>
      <c r="G7" s="5">
        <f>IF(AND(H7&lt;&gt;"",I7&lt;&gt;""),F7/MAX((I7-H7)/30,1),0)</f>
        <v/>
      </c>
      <c r="H7" s="30" t="n"/>
      <c r="I7" s="30" t="n"/>
    </row>
    <row r="8">
      <c r="B8" s="28" t="inlineStr">
        <is>
          <t>3. Ahorro Individual - Él</t>
        </is>
      </c>
      <c r="C8" s="11" t="inlineStr">
        <is>
          <t>Corto-Largo</t>
        </is>
      </c>
      <c r="D8" s="18" t="n"/>
      <c r="E8" s="18" t="n"/>
      <c r="F8" s="12">
        <f>D8-E8</f>
        <v/>
      </c>
      <c r="G8" s="12">
        <f>IF(AND(H8&lt;&gt;"",I8&lt;&gt;""),F8/MAX((I8-H8)/30,1),0)</f>
        <v/>
      </c>
      <c r="H8" s="29" t="n"/>
      <c r="I8" s="29" t="n"/>
    </row>
    <row r="9">
      <c r="B9" s="6" t="inlineStr">
        <is>
          <t>4. Compra de Inmueble</t>
        </is>
      </c>
      <c r="C9" s="4" t="inlineStr">
        <is>
          <t>Mediano (3-5 años)</t>
        </is>
      </c>
      <c r="D9" s="16" t="n"/>
      <c r="E9" s="16" t="n"/>
      <c r="F9" s="5">
        <f>D9-E9</f>
        <v/>
      </c>
      <c r="G9" s="5">
        <f>IF(AND(H9&lt;&gt;"",I9&lt;&gt;""),F9/MAX((I9-H9)/30,1),0)</f>
        <v/>
      </c>
      <c r="H9" s="30" t="n"/>
      <c r="I9" s="30" t="n"/>
    </row>
    <row r="10">
      <c r="B10" s="28" t="inlineStr">
        <is>
          <t>5. Retiro / Inversiones</t>
        </is>
      </c>
      <c r="C10" s="11" t="inlineStr">
        <is>
          <t>Largo (10+ años)</t>
        </is>
      </c>
      <c r="D10" s="18" t="n"/>
      <c r="E10" s="18" t="n"/>
      <c r="F10" s="12">
        <f>D10-E10</f>
        <v/>
      </c>
      <c r="G10" s="12">
        <f>IF(AND(H10&lt;&gt;"",I10&lt;&gt;""),F10/MAX((I10-H10)/30,1),0)</f>
        <v/>
      </c>
      <c r="H10" s="29" t="n"/>
      <c r="I10" s="29" t="n"/>
    </row>
    <row r="13">
      <c r="B13" s="3" t="inlineStr">
        <is>
          <t>Objetivo 1: Vacaciones Juntos (Corto Plazo)</t>
        </is>
      </c>
    </row>
    <row r="14">
      <c r="B14" s="4" t="inlineStr">
        <is>
          <t>Destino</t>
        </is>
      </c>
      <c r="C14" s="15" t="n"/>
    </row>
    <row r="15">
      <c r="B15" s="4" t="inlineStr">
        <is>
          <t>Duración (días)</t>
        </is>
      </c>
      <c r="C15" s="15" t="n"/>
    </row>
    <row r="16">
      <c r="B16" s="4" t="inlineStr">
        <is>
          <t>Presupuesto vuelos/transporte</t>
        </is>
      </c>
      <c r="C16" s="16" t="n"/>
    </row>
    <row r="17">
      <c r="B17" s="4" t="inlineStr">
        <is>
          <t>Presupuesto alojamiento</t>
        </is>
      </c>
      <c r="C17" s="16" t="n"/>
    </row>
    <row r="18">
      <c r="B18" s="4" t="inlineStr">
        <is>
          <t>Presupuesto comida/actividades</t>
        </is>
      </c>
      <c r="C18" s="16" t="n"/>
    </row>
    <row r="19">
      <c r="B19" s="4" t="inlineStr">
        <is>
          <t>Presupuesto extras/imprevistos</t>
        </is>
      </c>
      <c r="C19" s="16" t="n"/>
    </row>
    <row r="20">
      <c r="B20" s="6" t="inlineStr">
        <is>
          <t>TOTAL ESTIMADO</t>
        </is>
      </c>
      <c r="C20" s="31">
        <f>SUM(C16:C19)</f>
        <v/>
      </c>
    </row>
    <row r="23">
      <c r="B23" s="3" t="inlineStr">
        <is>
          <t>Objetivos 2-3: Ahorro Individual</t>
        </is>
      </c>
    </row>
    <row r="24">
      <c r="B24" s="10" t="inlineStr">
        <is>
          <t>Concepto</t>
        </is>
      </c>
      <c r="C24" s="10" t="inlineStr">
        <is>
          <t>Ella ($)</t>
        </is>
      </c>
      <c r="D24" s="10" t="inlineStr">
        <is>
          <t>Él ($)</t>
        </is>
      </c>
    </row>
    <row r="25">
      <c r="B25" s="4" t="inlineStr">
        <is>
          <t>Fondo de emergencia personal</t>
        </is>
      </c>
      <c r="C25" s="16" t="n"/>
      <c r="D25" s="16" t="n"/>
    </row>
    <row r="26">
      <c r="B26" s="11" t="inlineStr">
        <is>
          <t>Desarrollo profesional</t>
        </is>
      </c>
      <c r="C26" s="18" t="n"/>
      <c r="D26" s="18" t="n"/>
    </row>
    <row r="27">
      <c r="B27" s="4" t="inlineStr">
        <is>
          <t>Gustos personales</t>
        </is>
      </c>
      <c r="C27" s="16" t="n"/>
      <c r="D27" s="16" t="n"/>
    </row>
    <row r="28">
      <c r="B28" s="11" t="inlineStr">
        <is>
          <t>Otros</t>
        </is>
      </c>
      <c r="C28" s="18" t="n"/>
      <c r="D28" s="18" t="n"/>
    </row>
    <row r="31">
      <c r="B31" s="3" t="inlineStr">
        <is>
          <t>Objetivo 4: Compra de Inmueble (Mediano Plazo)</t>
        </is>
      </c>
    </row>
    <row r="32">
      <c r="B32" s="4" t="inlineStr">
        <is>
          <t>Valor estimado del inmueble</t>
        </is>
      </c>
      <c r="C32" s="16" t="n"/>
    </row>
    <row r="33">
      <c r="B33" s="4" t="inlineStr">
        <is>
          <t>% de entrada requerido</t>
        </is>
      </c>
      <c r="C33" s="32" t="n"/>
    </row>
    <row r="34">
      <c r="B34" s="4" t="inlineStr">
        <is>
          <t>Monto de entrada necesario</t>
        </is>
      </c>
      <c r="C34" s="16" t="n"/>
    </row>
    <row r="35">
      <c r="B35" s="4" t="inlineStr">
        <is>
          <t>Gastos escrituración/notarial</t>
        </is>
      </c>
      <c r="C35" s="16" t="n"/>
    </row>
    <row r="36">
      <c r="B36" s="4" t="inlineStr">
        <is>
          <t>Refacción / Equipamiento</t>
        </is>
      </c>
      <c r="C36" s="16" t="n"/>
    </row>
    <row r="37">
      <c r="B37" s="6" t="inlineStr">
        <is>
          <t>TOTAL A AHORRAR</t>
        </is>
      </c>
      <c r="C37" s="16" t="n"/>
    </row>
    <row r="40">
      <c r="B40" s="3" t="inlineStr">
        <is>
          <t>Objetivo 5: Retiro e Inversiones (Largo Plazo)</t>
        </is>
      </c>
    </row>
    <row r="41">
      <c r="B41" s="10" t="inlineStr">
        <is>
          <t>Instrumento</t>
        </is>
      </c>
      <c r="C41" s="10" t="inlineStr">
        <is>
          <t>Aporte Mensual ($)</t>
        </is>
      </c>
      <c r="D41" s="10" t="inlineStr">
        <is>
          <t>Rentabilidad Est. Anual</t>
        </is>
      </c>
    </row>
    <row r="42">
      <c r="B42" s="11" t="inlineStr">
        <is>
          <t>AFAP voluntario</t>
        </is>
      </c>
      <c r="C42" s="18" t="n"/>
      <c r="D42" s="33" t="n"/>
    </row>
    <row r="43">
      <c r="B43" s="4" t="inlineStr">
        <is>
          <t>Fondo de inversión (UI / USD)</t>
        </is>
      </c>
      <c r="C43" s="16" t="n"/>
      <c r="D43" s="32" t="n"/>
    </row>
    <row r="44">
      <c r="B44" s="11" t="inlineStr">
        <is>
          <t>Letras de regulación monetaria</t>
        </is>
      </c>
      <c r="C44" s="18" t="n"/>
      <c r="D44" s="33" t="n"/>
    </row>
    <row r="45">
      <c r="B45" s="4" t="inlineStr">
        <is>
          <t>Bonos del tesoro</t>
        </is>
      </c>
      <c r="C45" s="16" t="n"/>
      <c r="D45" s="32" t="n"/>
    </row>
    <row r="46">
      <c r="B46" s="11" t="inlineStr">
        <is>
          <t>Inversiones en acciones / ETFs</t>
        </is>
      </c>
      <c r="C46" s="18" t="n"/>
      <c r="D46" s="33" t="n"/>
    </row>
    <row r="47">
      <c r="B47" s="4" t="inlineStr">
        <is>
          <t>Otros instrumentos</t>
        </is>
      </c>
      <c r="C47" s="16" t="n"/>
      <c r="D47" s="32" t="n"/>
    </row>
  </sheetData>
  <mergeCells count="2">
    <mergeCell ref="B3:I3"/>
    <mergeCell ref="B2:I2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B2:O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</cols>
  <sheetData>
    <row r="2">
      <c r="B2" s="1" t="inlineStr">
        <is>
          <t>SEGUIMIENTO MENSUAL - AÑO 2025</t>
        </is>
      </c>
    </row>
    <row r="4">
      <c r="B4" s="10" t="inlineStr">
        <is>
          <t>Concepto</t>
        </is>
      </c>
      <c r="C4" s="10" t="inlineStr">
        <is>
          <t>Enero</t>
        </is>
      </c>
      <c r="D4" s="10" t="inlineStr">
        <is>
          <t>Febrero</t>
        </is>
      </c>
      <c r="E4" s="10" t="inlineStr">
        <is>
          <t>Marzo</t>
        </is>
      </c>
      <c r="F4" s="10" t="inlineStr">
        <is>
          <t>Abril</t>
        </is>
      </c>
      <c r="G4" s="10" t="inlineStr">
        <is>
          <t>Mayo</t>
        </is>
      </c>
      <c r="H4" s="10" t="inlineStr">
        <is>
          <t>Junio</t>
        </is>
      </c>
      <c r="I4" s="10" t="inlineStr">
        <is>
          <t>Julio</t>
        </is>
      </c>
      <c r="J4" s="10" t="inlineStr">
        <is>
          <t>Agosto</t>
        </is>
      </c>
      <c r="K4" s="10" t="inlineStr">
        <is>
          <t>Septiembre</t>
        </is>
      </c>
      <c r="L4" s="10" t="inlineStr">
        <is>
          <t>Octubre</t>
        </is>
      </c>
      <c r="M4" s="10" t="inlineStr">
        <is>
          <t>Noviembre</t>
        </is>
      </c>
      <c r="N4" s="10" t="inlineStr">
        <is>
          <t>Diciembre</t>
        </is>
      </c>
      <c r="O4" s="10" t="inlineStr">
        <is>
          <t>TOTAL ANUAL</t>
        </is>
      </c>
    </row>
    <row r="5">
      <c r="B5" s="34" t="inlineStr">
        <is>
          <t>INGRESOS</t>
        </is>
      </c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</row>
    <row r="6">
      <c r="B6" s="11" t="inlineStr">
        <is>
          <t xml:space="preserve">  Ingreso Neto Ella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36">
        <f>SUM(C6:N6)</f>
        <v/>
      </c>
    </row>
    <row r="7">
      <c r="B7" s="4" t="inlineStr">
        <is>
          <t xml:space="preserve">  Ingreso Neto Él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7">
        <f>SUM(C7:N7)</f>
        <v/>
      </c>
    </row>
    <row r="8">
      <c r="B8" s="37" t="inlineStr">
        <is>
          <t>TOTAL INGRESOS</t>
        </is>
      </c>
      <c r="C8" s="38">
        <f>SUM(C6:C7)</f>
        <v/>
      </c>
      <c r="D8" s="38">
        <f>SUM(D6:D7)</f>
        <v/>
      </c>
      <c r="E8" s="38">
        <f>SUM(E6:E7)</f>
        <v/>
      </c>
      <c r="F8" s="38">
        <f>SUM(F6:F7)</f>
        <v/>
      </c>
      <c r="G8" s="38">
        <f>SUM(G6:G7)</f>
        <v/>
      </c>
      <c r="H8" s="38">
        <f>SUM(H6:H7)</f>
        <v/>
      </c>
      <c r="I8" s="38">
        <f>SUM(I6:I7)</f>
        <v/>
      </c>
      <c r="J8" s="38">
        <f>SUM(J6:J7)</f>
        <v/>
      </c>
      <c r="K8" s="38">
        <f>SUM(K6:K7)</f>
        <v/>
      </c>
      <c r="L8" s="38">
        <f>SUM(L6:L7)</f>
        <v/>
      </c>
      <c r="M8" s="38">
        <f>SUM(M6:M7)</f>
        <v/>
      </c>
      <c r="N8" s="38">
        <f>SUM(N6:N7)</f>
        <v/>
      </c>
      <c r="O8" s="38">
        <f>SUM(O6:O7)</f>
        <v/>
      </c>
    </row>
    <row r="9">
      <c r="B9" s="39" t="inlineStr">
        <is>
          <t>GASTOS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</row>
    <row r="10">
      <c r="B10" s="11" t="inlineStr">
        <is>
          <t xml:space="preserve">  Vivienda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36">
        <f>SUM(C10:N10)</f>
        <v/>
      </c>
    </row>
    <row r="11">
      <c r="B11" s="4" t="inlineStr">
        <is>
          <t xml:space="preserve">  Alimentación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7">
        <f>SUM(C11:N11)</f>
        <v/>
      </c>
    </row>
    <row r="12">
      <c r="B12" s="11" t="inlineStr">
        <is>
          <t xml:space="preserve">  Transporte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36">
        <f>SUM(C12:N12)</f>
        <v/>
      </c>
    </row>
    <row r="13">
      <c r="B13" s="4" t="inlineStr">
        <is>
          <t xml:space="preserve">  Salud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7">
        <f>SUM(C13:N13)</f>
        <v/>
      </c>
    </row>
    <row r="14">
      <c r="B14" s="11" t="inlineStr">
        <is>
          <t xml:space="preserve">  Educación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36">
        <f>SUM(C14:N14)</f>
        <v/>
      </c>
    </row>
    <row r="15">
      <c r="B15" s="4" t="inlineStr">
        <is>
          <t xml:space="preserve">  Personal/Ocio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7">
        <f>SUM(C15:N15)</f>
        <v/>
      </c>
    </row>
    <row r="16">
      <c r="B16" s="11" t="inlineStr">
        <is>
          <t xml:space="preserve">  Financiero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36">
        <f>SUM(C16:N16)</f>
        <v/>
      </c>
    </row>
    <row r="17">
      <c r="B17" s="37" t="inlineStr">
        <is>
          <t>TOTAL GASTOS</t>
        </is>
      </c>
      <c r="C17" s="38">
        <f>SUM(C10:C16)</f>
        <v/>
      </c>
      <c r="D17" s="38">
        <f>SUM(D10:D16)</f>
        <v/>
      </c>
      <c r="E17" s="38">
        <f>SUM(E10:E16)</f>
        <v/>
      </c>
      <c r="F17" s="38">
        <f>SUM(F10:F16)</f>
        <v/>
      </c>
      <c r="G17" s="38">
        <f>SUM(G10:G16)</f>
        <v/>
      </c>
      <c r="H17" s="38">
        <f>SUM(H10:H16)</f>
        <v/>
      </c>
      <c r="I17" s="38">
        <f>SUM(I10:I16)</f>
        <v/>
      </c>
      <c r="J17" s="38">
        <f>SUM(J10:J16)</f>
        <v/>
      </c>
      <c r="K17" s="38">
        <f>SUM(K10:K16)</f>
        <v/>
      </c>
      <c r="L17" s="38">
        <f>SUM(L10:L16)</f>
        <v/>
      </c>
      <c r="M17" s="38">
        <f>SUM(M10:M16)</f>
        <v/>
      </c>
      <c r="N17" s="38">
        <f>SUM(N10:N16)</f>
        <v/>
      </c>
      <c r="O17" s="38">
        <f>SUM(O10:O16)</f>
        <v/>
      </c>
    </row>
    <row r="18">
      <c r="B18" s="41" t="inlineStr">
        <is>
          <t>AHORRO POR OBJETIVO</t>
        </is>
      </c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</row>
    <row r="19">
      <c r="B19" s="4" t="inlineStr">
        <is>
          <t xml:space="preserve">  Vacaciones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7">
        <f>SUM(C19:N19)</f>
        <v/>
      </c>
    </row>
    <row r="20">
      <c r="B20" s="11" t="inlineStr">
        <is>
          <t xml:space="preserve">  Ahorro Individual Ella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36">
        <f>SUM(C20:N20)</f>
        <v/>
      </c>
    </row>
    <row r="21">
      <c r="B21" s="4" t="inlineStr">
        <is>
          <t xml:space="preserve">  Ahorro Individual Él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7">
        <f>SUM(C21:N21)</f>
        <v/>
      </c>
    </row>
    <row r="22">
      <c r="B22" s="11" t="inlineStr">
        <is>
          <t xml:space="preserve">  Inmueble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36">
        <f>SUM(C22:N22)</f>
        <v/>
      </c>
    </row>
    <row r="23">
      <c r="B23" s="4" t="inlineStr">
        <is>
          <t xml:space="preserve">  Retiro / Inversiones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7">
        <f>SUM(C23:N23)</f>
        <v/>
      </c>
    </row>
    <row r="24">
      <c r="B24" s="37" t="inlineStr">
        <is>
          <t>TOTAL AHORRO POR OBJETIVO</t>
        </is>
      </c>
      <c r="C24" s="38">
        <f>SUM(C19:C23)</f>
        <v/>
      </c>
      <c r="D24" s="38">
        <f>SUM(D19:D23)</f>
        <v/>
      </c>
      <c r="E24" s="38">
        <f>SUM(E19:E23)</f>
        <v/>
      </c>
      <c r="F24" s="38">
        <f>SUM(F19:F23)</f>
        <v/>
      </c>
      <c r="G24" s="38">
        <f>SUM(G19:G23)</f>
        <v/>
      </c>
      <c r="H24" s="38">
        <f>SUM(H19:H23)</f>
        <v/>
      </c>
      <c r="I24" s="38">
        <f>SUM(I19:I23)</f>
        <v/>
      </c>
      <c r="J24" s="38">
        <f>SUM(J19:J23)</f>
        <v/>
      </c>
      <c r="K24" s="38">
        <f>SUM(K19:K23)</f>
        <v/>
      </c>
      <c r="L24" s="38">
        <f>SUM(L19:L23)</f>
        <v/>
      </c>
      <c r="M24" s="38">
        <f>SUM(M19:M23)</f>
        <v/>
      </c>
      <c r="N24" s="38">
        <f>SUM(N19:N23)</f>
        <v/>
      </c>
      <c r="O24" s="38">
        <f>SUM(O19:O23)</f>
        <v/>
      </c>
    </row>
    <row r="26">
      <c r="B26" s="10" t="inlineStr">
        <is>
          <t>BALANCE MENSUAL</t>
        </is>
      </c>
      <c r="C26" s="19">
        <f>C8-C17-C24</f>
        <v/>
      </c>
      <c r="D26" s="19">
        <f>D8-D17-D24</f>
        <v/>
      </c>
      <c r="E26" s="19">
        <f>E8-E17-E24</f>
        <v/>
      </c>
      <c r="F26" s="19">
        <f>F8-F17-F24</f>
        <v/>
      </c>
      <c r="G26" s="19">
        <f>G8-G17-G24</f>
        <v/>
      </c>
      <c r="H26" s="19">
        <f>H8-H17-H24</f>
        <v/>
      </c>
      <c r="I26" s="19">
        <f>I8-I17-I24</f>
        <v/>
      </c>
      <c r="J26" s="19">
        <f>J8-J17-J24</f>
        <v/>
      </c>
      <c r="K26" s="19">
        <f>K8-K17-K24</f>
        <v/>
      </c>
      <c r="L26" s="19">
        <f>L8-L17-L24</f>
        <v/>
      </c>
      <c r="M26" s="19">
        <f>M8-M17-M24</f>
        <v/>
      </c>
      <c r="N26" s="19">
        <f>N8-N17-N24</f>
        <v/>
      </c>
      <c r="O26" s="19">
        <f>O8-O17-O24</f>
        <v/>
      </c>
    </row>
    <row r="27">
      <c r="B27" s="43" t="inlineStr">
        <is>
          <t>TASA DE AHORRO</t>
        </is>
      </c>
      <c r="C27" s="44">
        <f>IF(C8&gt;0,C24/C8,0)</f>
        <v/>
      </c>
      <c r="D27" s="44">
        <f>IF(D8&gt;0,D24/D8,0)</f>
        <v/>
      </c>
      <c r="E27" s="44">
        <f>IF(E8&gt;0,E24/E8,0)</f>
        <v/>
      </c>
      <c r="F27" s="44">
        <f>IF(F8&gt;0,F24/F8,0)</f>
        <v/>
      </c>
      <c r="G27" s="44">
        <f>IF(G8&gt;0,G24/G8,0)</f>
        <v/>
      </c>
      <c r="H27" s="44">
        <f>IF(H8&gt;0,H24/H8,0)</f>
        <v/>
      </c>
      <c r="I27" s="44">
        <f>IF(I8&gt;0,I24/I8,0)</f>
        <v/>
      </c>
      <c r="J27" s="44">
        <f>IF(J8&gt;0,J24/J8,0)</f>
        <v/>
      </c>
      <c r="K27" s="44">
        <f>IF(K8&gt;0,K24/K8,0)</f>
        <v/>
      </c>
      <c r="L27" s="44">
        <f>IF(L8&gt;0,L24/L8,0)</f>
        <v/>
      </c>
      <c r="M27" s="44">
        <f>IF(M8&gt;0,M24/M8,0)</f>
        <v/>
      </c>
      <c r="N27" s="44">
        <f>IF(N8&gt;0,N24/N8,0)</f>
        <v/>
      </c>
      <c r="O27" s="44">
        <f>IF(O8&gt;0,O24/O8,0)</f>
        <v/>
      </c>
    </row>
    <row r="29">
      <c r="B29" s="45" t="inlineStr">
        <is>
          <t>AHORRO ACUMULADO</t>
        </is>
      </c>
      <c r="C29" s="7">
        <f>C24</f>
        <v/>
      </c>
      <c r="D29" s="7">
        <f>C29+D24</f>
        <v/>
      </c>
      <c r="E29" s="7">
        <f>D29+E24</f>
        <v/>
      </c>
      <c r="F29" s="7">
        <f>E29+F24</f>
        <v/>
      </c>
      <c r="G29" s="7">
        <f>F29+G24</f>
        <v/>
      </c>
      <c r="H29" s="7">
        <f>G29+H24</f>
        <v/>
      </c>
      <c r="I29" s="7">
        <f>H29+I24</f>
        <v/>
      </c>
      <c r="J29" s="7">
        <f>I29+J24</f>
        <v/>
      </c>
      <c r="K29" s="7">
        <f>J29+K24</f>
        <v/>
      </c>
      <c r="L29" s="7">
        <f>K29+L24</f>
        <v/>
      </c>
      <c r="M29" s="7">
        <f>L29+M24</f>
        <v/>
      </c>
      <c r="N29" s="7">
        <f>M29+N24</f>
        <v/>
      </c>
      <c r="O29" s="7">
        <f>N29+O24</f>
        <v/>
      </c>
    </row>
  </sheetData>
  <mergeCells count="1">
    <mergeCell ref="B2:N2"/>
  </mergeCell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22" customWidth="1" min="8" max="8"/>
  </cols>
  <sheetData>
    <row r="2">
      <c r="B2" s="1" t="inlineStr">
        <is>
          <t>PORTAFOLIO DE INVERSIONES</t>
        </is>
      </c>
    </row>
    <row r="3">
      <c r="B3" s="27" t="inlineStr">
        <is>
          <t>Opciones disponibles en Uruguay para residentes médicos</t>
        </is>
      </c>
    </row>
    <row r="5">
      <c r="B5" s="3" t="inlineStr">
        <is>
          <t>Opciones de Inversión - Uruguay</t>
        </is>
      </c>
    </row>
    <row r="6">
      <c r="B6" s="10" t="inlineStr">
        <is>
          <t>Instrumento</t>
        </is>
      </c>
      <c r="C6" s="10" t="inlineStr">
        <is>
          <t>Riesgo</t>
        </is>
      </c>
      <c r="D6" s="10" t="inlineStr">
        <is>
          <t>Liquidez</t>
        </is>
      </c>
      <c r="E6" s="10" t="inlineStr">
        <is>
          <t>Moneda</t>
        </is>
      </c>
      <c r="F6" s="10" t="inlineStr">
        <is>
          <t>Rent. Est. Anual</t>
        </is>
      </c>
      <c r="G6" s="10" t="inlineStr">
        <is>
          <t>Aporte Mensual</t>
        </is>
      </c>
      <c r="H6" s="10" t="inlineStr">
        <is>
          <t>Notas</t>
        </is>
      </c>
    </row>
    <row r="7">
      <c r="B7" s="4" t="inlineStr">
        <is>
          <t>AFAP Voluntaria (República/Unión)</t>
        </is>
      </c>
      <c r="C7" s="46" t="inlineStr">
        <is>
          <t>Bajo</t>
        </is>
      </c>
      <c r="D7" s="4" t="inlineStr">
        <is>
          <t>Baja</t>
        </is>
      </c>
      <c r="E7" s="4" t="inlineStr">
        <is>
          <t>UI/UYU</t>
        </is>
      </c>
      <c r="F7" s="4" t="inlineStr">
        <is>
          <t>3-5%</t>
        </is>
      </c>
      <c r="G7" s="16" t="n"/>
      <c r="H7" s="4" t="inlineStr">
        <is>
          <t>Deducible de IRPF</t>
        </is>
      </c>
    </row>
    <row r="8">
      <c r="B8" s="11" t="inlineStr">
        <is>
          <t>Letras de Regulación Monetaria</t>
        </is>
      </c>
      <c r="C8" s="47" t="inlineStr">
        <is>
          <t>Muy bajo</t>
        </is>
      </c>
      <c r="D8" s="11" t="inlineStr">
        <is>
          <t>Media</t>
        </is>
      </c>
      <c r="E8" s="11" t="inlineStr">
        <is>
          <t>UYU</t>
        </is>
      </c>
      <c r="F8" s="11" t="inlineStr">
        <is>
          <t>Variable BCU</t>
        </is>
      </c>
      <c r="G8" s="18" t="n"/>
      <c r="H8" s="11" t="inlineStr">
        <is>
          <t>Plazo 30-360 días</t>
        </is>
      </c>
    </row>
    <row r="9">
      <c r="B9" s="4" t="inlineStr">
        <is>
          <t>Notas del Tesoro en UI</t>
        </is>
      </c>
      <c r="C9" s="46" t="inlineStr">
        <is>
          <t>Bajo</t>
        </is>
      </c>
      <c r="D9" s="4" t="inlineStr">
        <is>
          <t>Media</t>
        </is>
      </c>
      <c r="E9" s="4" t="inlineStr">
        <is>
          <t>UI</t>
        </is>
      </c>
      <c r="F9" s="4" t="inlineStr">
        <is>
          <t>2-4% real</t>
        </is>
      </c>
      <c r="G9" s="16" t="n"/>
      <c r="H9" s="4" t="inlineStr">
        <is>
          <t>Protege contra inflación</t>
        </is>
      </c>
    </row>
    <row r="10">
      <c r="B10" s="11" t="inlineStr">
        <is>
          <t>Bonos Globales Uruguay</t>
        </is>
      </c>
      <c r="C10" s="48" t="inlineStr">
        <is>
          <t>Bajo</t>
        </is>
      </c>
      <c r="D10" s="11" t="inlineStr">
        <is>
          <t>Media</t>
        </is>
      </c>
      <c r="E10" s="11" t="inlineStr">
        <is>
          <t>USD</t>
        </is>
      </c>
      <c r="F10" s="11" t="inlineStr">
        <is>
          <t>4-6%</t>
        </is>
      </c>
      <c r="G10" s="18" t="n"/>
      <c r="H10" s="11" t="inlineStr">
        <is>
          <t>Renta fija en USD</t>
        </is>
      </c>
    </row>
    <row r="11">
      <c r="B11" s="4" t="inlineStr">
        <is>
          <t>Depósito a plazo fijo</t>
        </is>
      </c>
      <c r="C11" s="49" t="inlineStr">
        <is>
          <t>Muy bajo</t>
        </is>
      </c>
      <c r="D11" s="4" t="inlineStr">
        <is>
          <t>Baja</t>
        </is>
      </c>
      <c r="E11" s="4" t="inlineStr">
        <is>
          <t>UYU/USD</t>
        </is>
      </c>
      <c r="F11" s="4" t="inlineStr">
        <is>
          <t>Variable</t>
        </is>
      </c>
      <c r="G11" s="16" t="n"/>
      <c r="H11" s="4" t="inlineStr">
        <is>
          <t>Garantía BCU</t>
        </is>
      </c>
    </row>
    <row r="12">
      <c r="B12" s="11" t="inlineStr">
        <is>
          <t>Fondo de inversión (SURA, etc.)</t>
        </is>
      </c>
      <c r="C12" s="50" t="inlineStr">
        <is>
          <t>Medio</t>
        </is>
      </c>
      <c r="D12" s="11" t="inlineStr">
        <is>
          <t>Media</t>
        </is>
      </c>
      <c r="E12" s="11" t="inlineStr">
        <is>
          <t>USD/UI</t>
        </is>
      </c>
      <c r="F12" s="11" t="inlineStr">
        <is>
          <t>5-8%</t>
        </is>
      </c>
      <c r="G12" s="18" t="n"/>
      <c r="H12" s="11" t="inlineStr">
        <is>
          <t>Diversificado</t>
        </is>
      </c>
    </row>
    <row r="13">
      <c r="B13" s="4" t="inlineStr">
        <is>
          <t>Acciones / ETFs (broker int'l)</t>
        </is>
      </c>
      <c r="C13" s="51" t="inlineStr">
        <is>
          <t>Alto</t>
        </is>
      </c>
      <c r="D13" s="4" t="inlineStr">
        <is>
          <t>Alta</t>
        </is>
      </c>
      <c r="E13" s="4" t="inlineStr">
        <is>
          <t>USD</t>
        </is>
      </c>
      <c r="F13" s="4" t="inlineStr">
        <is>
          <t>8-12%</t>
        </is>
      </c>
      <c r="G13" s="16" t="n"/>
      <c r="H13" s="4" t="inlineStr">
        <is>
          <t>Requiere cuenta exterior</t>
        </is>
      </c>
    </row>
    <row r="14">
      <c r="B14" s="11" t="inlineStr">
        <is>
          <t>Inmueble (renta)</t>
        </is>
      </c>
      <c r="C14" s="50" t="inlineStr">
        <is>
          <t>Medio</t>
        </is>
      </c>
      <c r="D14" s="11" t="inlineStr">
        <is>
          <t>Muy baja</t>
        </is>
      </c>
      <c r="E14" s="11" t="inlineStr">
        <is>
          <t>UYU/USD</t>
        </is>
      </c>
      <c r="F14" s="11" t="inlineStr">
        <is>
          <t>4-7%</t>
        </is>
      </c>
      <c r="G14" s="18" t="n"/>
      <c r="H14" s="11" t="inlineStr">
        <is>
          <t>Ingreso pasivo</t>
        </is>
      </c>
    </row>
    <row r="15">
      <c r="B15" s="10" t="inlineStr">
        <is>
          <t>TOTAL INVERSIÓN MENSUAL</t>
        </is>
      </c>
      <c r="C15" s="10" t="n"/>
      <c r="D15" s="10" t="n"/>
      <c r="E15" s="10" t="n"/>
      <c r="F15" s="10" t="n"/>
      <c r="G15" s="19">
        <f>SUM(G7:G14)</f>
        <v/>
      </c>
      <c r="H15" s="10" t="n"/>
    </row>
    <row r="18">
      <c r="B18" s="3" t="inlineStr">
        <is>
          <t>Simulador de Interés Compuesto</t>
        </is>
      </c>
    </row>
    <row r="19">
      <c r="B19" s="6" t="inlineStr">
        <is>
          <t>Aporte mensual ($)</t>
        </is>
      </c>
      <c r="C19" s="16" t="n"/>
    </row>
    <row r="20">
      <c r="B20" s="6" t="inlineStr">
        <is>
          <t>Tasa anual esperada (%)</t>
        </is>
      </c>
      <c r="C20" s="32" t="n"/>
    </row>
    <row r="21">
      <c r="B21" s="6" t="inlineStr">
        <is>
          <t>Años de inversión</t>
        </is>
      </c>
      <c r="C21" s="15" t="n"/>
    </row>
    <row r="23">
      <c r="B23" s="6" t="inlineStr">
        <is>
          <t>Total Invertido (sin rendimiento)</t>
        </is>
      </c>
      <c r="C23" s="7">
        <f>C19*C21*12</f>
        <v/>
      </c>
    </row>
    <row r="24">
      <c r="B24" s="6" t="inlineStr">
        <is>
          <t>Valor Futuro (con rendimiento)</t>
        </is>
      </c>
      <c r="C24" s="21">
        <f>IF(AND(C19&gt;0,C20&gt;0,C21&gt;0),C19*(((1+C20/12)^(C21*12)-1)/(C20/12)),0)</f>
        <v/>
      </c>
    </row>
    <row r="25">
      <c r="B25" s="6" t="inlineStr">
        <is>
          <t>Ganancia por Rendimiento</t>
        </is>
      </c>
      <c r="C25" s="8">
        <f>C24-C23</f>
        <v/>
      </c>
    </row>
    <row r="28">
      <c r="B28" s="3" t="inlineStr">
        <is>
          <t>Perfil de Riesgo Sugerido para Médicos Residentes</t>
        </is>
      </c>
    </row>
    <row r="29">
      <c r="B29" s="14" t="inlineStr">
        <is>
          <t>• Prioridad 1: Fondo de emergencia (3-6 meses gastos) en depósito o LRM.</t>
        </is>
      </c>
    </row>
    <row r="30">
      <c r="B30" s="14" t="inlineStr">
        <is>
          <t>• Prioridad 2: AFAP voluntaria para beneficio fiscal (deducción IRPF).</t>
        </is>
      </c>
    </row>
    <row r="31">
      <c r="B31" s="14" t="inlineStr">
        <is>
          <t>• Prioridad 3: Notas en UI para ahorro mediano plazo (inmueble).</t>
        </is>
      </c>
    </row>
    <row r="32">
      <c r="B32" s="14" t="inlineStr">
        <is>
          <t>• Prioridad 4: Diversificar en fondos USD para largo plazo.</t>
        </is>
      </c>
    </row>
    <row r="33">
      <c r="B33" s="14" t="inlineStr">
        <is>
          <t>• Cuidado: Evitar inversiones ilíquidas mientras están en residencia.</t>
        </is>
      </c>
    </row>
    <row r="34">
      <c r="B34" s="14" t="inlineStr">
        <is>
          <t>• Tip: Automatizar transferencias el día de cobro.</t>
        </is>
      </c>
    </row>
  </sheetData>
  <mergeCells count="2">
    <mergeCell ref="B3:H3"/>
    <mergeCell ref="B2:H2"/>
  </mergeCells>
  <pageMargins left="0.75" right="0.75" top="1" bottom="1" header="0.5" footer="0.5"/>
  <pageSetup orientation="landscape" paperSize="9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22" customWidth="1" min="4" max="4"/>
  </cols>
  <sheetData>
    <row r="2">
      <c r="B2" s="1" t="inlineStr">
        <is>
          <t>FONDO DE EMERGENCIA</t>
        </is>
      </c>
    </row>
    <row r="3">
      <c r="B3" s="27" t="inlineStr">
        <is>
          <t>Meta: cubrir 3 a 6 meses de gastos esenciales</t>
        </is>
      </c>
    </row>
    <row r="5">
      <c r="B5" s="3" t="inlineStr">
        <is>
          <t>Cálculo de Meta</t>
        </is>
      </c>
    </row>
    <row r="6">
      <c r="B6" s="11" t="inlineStr">
        <is>
          <t>Gastos esenciales mensuales</t>
        </is>
      </c>
      <c r="C6" s="12">
        <f>Gastos!H43</f>
        <v/>
      </c>
    </row>
    <row r="7">
      <c r="B7" s="6" t="inlineStr">
        <is>
          <t>Meta 3 meses</t>
        </is>
      </c>
      <c r="C7" s="5">
        <f>C6*3</f>
        <v/>
      </c>
    </row>
    <row r="8">
      <c r="B8" s="28" t="inlineStr">
        <is>
          <t>Meta 6 meses (recomendado)</t>
        </is>
      </c>
      <c r="C8" s="12">
        <f>C6*6</f>
        <v/>
      </c>
    </row>
    <row r="9">
      <c r="B9" s="4" t="inlineStr">
        <is>
          <t>Ahorrado actualmente</t>
        </is>
      </c>
      <c r="C9" s="5" t="n"/>
    </row>
    <row r="10">
      <c r="B10" s="11" t="inlineStr">
        <is>
          <t>Faltan para meta 3 meses</t>
        </is>
      </c>
      <c r="C10" s="12">
        <f>MAX(C7-C9,0)</f>
        <v/>
      </c>
    </row>
    <row r="11">
      <c r="B11" s="6" t="inlineStr">
        <is>
          <t>Faltan para meta 6 meses</t>
        </is>
      </c>
      <c r="C11" s="5">
        <f>MAX(C8-C9,0)</f>
        <v/>
      </c>
    </row>
    <row r="12">
      <c r="B12" s="11" t="inlineStr">
        <is>
          <t>Ahorro mensual para este fondo</t>
        </is>
      </c>
      <c r="C12" s="12" t="n"/>
    </row>
    <row r="13">
      <c r="B13" s="4" t="inlineStr">
        <is>
          <t>Meses para alcanzar meta 3m</t>
        </is>
      </c>
      <c r="C13" s="52">
        <f>IF(C12&gt;0,C10/C12,"—")</f>
        <v/>
      </c>
    </row>
    <row r="14">
      <c r="B14" s="11" t="inlineStr">
        <is>
          <t>Meses para alcanzar meta 6m</t>
        </is>
      </c>
      <c r="C14" s="53">
        <f>IF(C12&gt;0,C11/C12,"—")</f>
        <v/>
      </c>
    </row>
    <row r="17">
      <c r="B17" s="3" t="inlineStr">
        <is>
          <t>¿Dónde guardar el fondo de emergencia?</t>
        </is>
      </c>
    </row>
    <row r="18">
      <c r="B18" s="14" t="inlineStr">
        <is>
          <t>• Cuenta de ahorro en UYU (acceso inmediato)</t>
        </is>
      </c>
    </row>
    <row r="19">
      <c r="B19" s="14" t="inlineStr">
        <is>
          <t>• Depósito a plazo 30 días (mejor tasa, algo menos líquido)</t>
        </is>
      </c>
    </row>
    <row r="20">
      <c r="B20" s="14" t="inlineStr">
        <is>
          <t>• Letras de regulación monetaria corto plazo</t>
        </is>
      </c>
    </row>
    <row r="21">
      <c r="B21" s="14" t="inlineStr">
        <is>
          <t>• NO en inversiones de riesgo o poco líquidas</t>
        </is>
      </c>
    </row>
    <row r="22">
      <c r="B22" s="54" t="inlineStr"/>
    </row>
    <row r="23">
      <c r="B23" s="54" t="inlineStr">
        <is>
          <t>IMPORTANTE: Este fondo es intocable salvo emergencia real.</t>
        </is>
      </c>
    </row>
    <row r="24">
      <c r="B24" s="54" t="inlineStr">
        <is>
          <t>No es para vacaciones, no es para oportunidades de inversión.</t>
        </is>
      </c>
    </row>
  </sheetData>
  <mergeCells count="2">
    <mergeCell ref="B3:D3"/>
    <mergeCell ref="B2:D2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2026-02-10T22:11:32Z</dcterms:created>
  <dcterms:modified xsi:type="dcterms:W3CDTF">2026-02-10T22:11:32Z</dcterms:modified>
</cp:coreProperties>
</file>